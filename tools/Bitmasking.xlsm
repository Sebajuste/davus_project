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360" yWindow="15" windowWidth="18060" windowHeight="7815"/>
  </bookViews>
  <sheets>
    <sheet name="Nono" sheetId="1" r:id="rId1"/>
    <sheet name="Padawan" sheetId="2" r:id="rId2"/>
  </sheets>
  <functionGroups builtInGroupCount="17"/>
  <calcPr calcId="145621"/>
</workbook>
</file>

<file path=xl/calcChain.xml><?xml version="1.0" encoding="utf-8"?>
<calcChain xmlns="http://schemas.openxmlformats.org/spreadsheetml/2006/main">
  <c r="Q7" i="1" l="1"/>
  <c r="R8" i="1"/>
  <c r="Q9" i="1"/>
  <c r="R10" i="1"/>
  <c r="Q11" i="1"/>
  <c r="R12" i="1"/>
  <c r="Q13" i="1"/>
  <c r="R14" i="1"/>
  <c r="Q15" i="1"/>
  <c r="R16" i="1"/>
  <c r="Q17" i="1"/>
  <c r="R18" i="1"/>
  <c r="Q19" i="1"/>
  <c r="R20" i="1"/>
  <c r="Q21" i="1"/>
  <c r="R22" i="1"/>
  <c r="Q23" i="1"/>
  <c r="R24" i="1"/>
  <c r="Q25" i="1"/>
  <c r="R26" i="1"/>
  <c r="Q27" i="1"/>
  <c r="R28" i="1"/>
  <c r="Q29" i="1"/>
  <c r="R30" i="1"/>
  <c r="Q31" i="1"/>
  <c r="R32" i="1"/>
  <c r="Q33" i="1"/>
  <c r="R34" i="1"/>
  <c r="R6" i="1"/>
  <c r="R9" i="1"/>
  <c r="R17" i="1"/>
  <c r="R25" i="1"/>
  <c r="R33" i="1"/>
  <c r="R13" i="1"/>
  <c r="R21" i="1"/>
  <c r="R29" i="1"/>
  <c r="R7" i="1"/>
  <c r="R15" i="1"/>
  <c r="R31" i="1"/>
  <c r="R11" i="1"/>
  <c r="R19" i="1"/>
  <c r="R27" i="1"/>
  <c r="R23" i="1"/>
  <c r="R5" i="1"/>
  <c r="L33" i="1" l="1"/>
  <c r="L32" i="1"/>
  <c r="L31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3" i="1"/>
  <c r="L12" i="1"/>
  <c r="L11" i="1"/>
  <c r="L10" i="1"/>
  <c r="L9" i="1"/>
  <c r="L8" i="1"/>
  <c r="L7" i="1"/>
  <c r="L6" i="1"/>
  <c r="L5" i="1"/>
  <c r="L4" i="1"/>
  <c r="L3" i="1"/>
  <c r="Q5" i="1"/>
</calcChain>
</file>

<file path=xl/sharedStrings.xml><?xml version="1.0" encoding="utf-8"?>
<sst xmlns="http://schemas.openxmlformats.org/spreadsheetml/2006/main" count="22" uniqueCount="22">
  <si>
    <t>Valeur</t>
  </si>
  <si>
    <t>Bit index</t>
  </si>
  <si>
    <t>Valeur de masques</t>
  </si>
  <si>
    <t>Catégorie</t>
  </si>
  <si>
    <t>Catégorie (nombre de côtés)</t>
  </si>
  <si>
    <t>5*</t>
  </si>
  <si>
    <t>* (face à face)</t>
  </si>
  <si>
    <t>Angle (deg)</t>
  </si>
  <si>
    <t>&lt;-- Tuile vide !</t>
  </si>
  <si>
    <t>Angle (rad)</t>
  </si>
  <si>
    <t>Code :</t>
  </si>
  <si>
    <t>func _create_tile(mask: int) -&gt; Node:</t>
  </si>
  <si>
    <t>match mask:</t>
  </si>
  <si>
    <t>_:</t>
  </si>
  <si>
    <t>return null</t>
  </si>
  <si>
    <t>Commentaire</t>
  </si>
  <si>
    <t>Nom de fonction :</t>
  </si>
  <si>
    <t>_get_tile_variant</t>
  </si>
  <si>
    <t xml:space="preserve"> Top</t>
  </si>
  <si>
    <t xml:space="preserve"> Right</t>
  </si>
  <si>
    <t xml:space="preserve"> Bottom</t>
  </si>
  <si>
    <t xml:space="preserve"> Left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</si>
</sst>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</fills>
  <borders count="3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62">
    <xf numFmtId="0" fontId="0" fillId="0" borderId="0" xfId="0"/>
    <xf numFmtId="0" fontId="0" fillId="2" borderId="0" xfId="0" applyFill="1" applyBorder="1"/>
    <xf numFmtId="0" fontId="0" fillId="3" borderId="7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3" xfId="0" applyBorder="1"/>
    <xf numFmtId="0" fontId="0" fillId="2" borderId="24" xfId="0" applyFill="1" applyBorder="1"/>
    <xf numFmtId="0" fontId="0" fillId="2" borderId="25" xfId="0" applyFill="1" applyBorder="1"/>
    <xf numFmtId="0" fontId="0" fillId="2" borderId="23" xfId="0" applyFill="1" applyBorder="1"/>
    <xf numFmtId="0" fontId="0" fillId="0" borderId="26" xfId="0" applyBorder="1"/>
    <xf numFmtId="0" fontId="0" fillId="2" borderId="26" xfId="0" applyFill="1" applyBorder="1"/>
    <xf numFmtId="0" fontId="0" fillId="2" borderId="27" xfId="0" applyFill="1" applyBorder="1"/>
    <xf numFmtId="0" fontId="0" fillId="2" borderId="28" xfId="0" applyFill="1" applyBorder="1"/>
    <xf numFmtId="0" fontId="0" fillId="0" borderId="24" xfId="0" applyBorder="1"/>
    <xf numFmtId="0" fontId="0" fillId="2" borderId="29" xfId="0" applyFill="1" applyBorder="1"/>
    <xf numFmtId="0" fontId="0" fillId="2" borderId="30" xfId="0" applyFill="1" applyBorder="1"/>
    <xf numFmtId="0" fontId="0" fillId="2" borderId="31" xfId="0" applyFill="1" applyBorder="1"/>
    <xf numFmtId="0" fontId="0" fillId="2" borderId="32" xfId="0" applyFill="1" applyBorder="1"/>
    <xf numFmtId="0" fontId="0" fillId="2" borderId="33" xfId="0" applyFill="1" applyBorder="1"/>
    <xf numFmtId="0" fontId="0" fillId="2" borderId="34" xfId="0" applyFill="1" applyBorder="1"/>
    <xf numFmtId="0" fontId="0" fillId="0" borderId="3" xfId="0" applyBorder="1"/>
    <xf numFmtId="0" fontId="1" fillId="0" borderId="1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10" xfId="0" applyFill="1" applyBorder="1" applyAlignment="1">
      <alignment horizontal="center"/>
    </xf>
    <xf numFmtId="0" fontId="0" fillId="0" borderId="11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0" fillId="4" borderId="13" xfId="0" applyFill="1" applyBorder="1" applyAlignment="1">
      <alignment horizontal="left" vertical="center"/>
    </xf>
    <xf numFmtId="0" fontId="0" fillId="4" borderId="2" xfId="0" applyFill="1" applyBorder="1" applyAlignment="1">
      <alignment horizontal="left" vertical="center"/>
    </xf>
    <xf numFmtId="0" fontId="0" fillId="4" borderId="14" xfId="0" applyFill="1" applyBorder="1" applyAlignment="1">
      <alignment horizontal="left" vertical="center"/>
    </xf>
    <xf numFmtId="0" fontId="0" fillId="4" borderId="13" xfId="0" applyFill="1" applyBorder="1"/>
    <xf numFmtId="0" fontId="0" fillId="4" borderId="2" xfId="0" applyFill="1" applyBorder="1"/>
    <xf numFmtId="0" fontId="0" fillId="4" borderId="14" xfId="0" applyFill="1" applyBorder="1"/>
    <xf numFmtId="0" fontId="0" fillId="4" borderId="15" xfId="0" applyFill="1" applyBorder="1"/>
    <xf numFmtId="0" fontId="0" fillId="4" borderId="16" xfId="0" applyFill="1" applyBorder="1"/>
    <xf numFmtId="0" fontId="0" fillId="4" borderId="17" xfId="0" applyFill="1" applyBorder="1"/>
    <xf numFmtId="0" fontId="1" fillId="0" borderId="35" xfId="0" applyFont="1" applyFill="1" applyBorder="1"/>
    <xf numFmtId="0" fontId="1" fillId="0" borderId="36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57150</xdr:colOff>
      <xdr:row>8</xdr:row>
      <xdr:rowOff>171450</xdr:rowOff>
    </xdr:from>
    <xdr:to>
      <xdr:col>13</xdr:col>
      <xdr:colOff>47625</xdr:colOff>
      <xdr:row>16</xdr:row>
      <xdr:rowOff>152400</xdr:rowOff>
    </xdr:to>
    <xdr:pic>
      <xdr:nvPicPr>
        <xdr:cNvPr id="2" name="Picture 1" descr="https://media.discordapp.net/attachments/617319109306351646/617852206632402975/unknown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7650" y="1714500"/>
          <a:ext cx="7048500" cy="150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36"/>
  <sheetViews>
    <sheetView tabSelected="1" workbookViewId="0">
      <selection activeCell="M6" sqref="M6"/>
    </sheetView>
  </sheetViews>
  <sheetFormatPr defaultRowHeight="15" customHeight="1" x14ac:dyDescent="0.25"/>
  <cols>
    <col min="1" max="2" width="2.85546875" customWidth="1"/>
    <col min="3" max="3" width="1.42578125" customWidth="1"/>
    <col min="5" max="5" width="13.28515625" bestFit="1" customWidth="1"/>
    <col min="7" max="7" width="2.85546875" customWidth="1"/>
    <col min="8" max="8" width="2.28515625" customWidth="1"/>
    <col min="9" max="12" width="11.42578125" customWidth="1"/>
    <col min="13" max="13" width="13.85546875" bestFit="1" customWidth="1"/>
    <col min="14" max="14" width="13.85546875" customWidth="1"/>
    <col min="15" max="16" width="1.42578125" customWidth="1"/>
    <col min="18" max="18" width="32.28515625" bestFit="1" customWidth="1"/>
  </cols>
  <sheetData>
    <row r="1" spans="1:20" ht="15" customHeight="1" thickBot="1" x14ac:dyDescent="0.3">
      <c r="O1" s="48" t="s">
        <v>10</v>
      </c>
      <c r="P1" s="49"/>
      <c r="Q1" s="49"/>
      <c r="R1" s="50"/>
    </row>
    <row r="2" spans="1:20" ht="15" customHeight="1" thickBot="1" x14ac:dyDescent="0.3">
      <c r="B2" s="22"/>
      <c r="D2" s="37" t="s">
        <v>1</v>
      </c>
      <c r="E2" s="37" t="s">
        <v>15</v>
      </c>
      <c r="I2" s="19" t="s">
        <v>0</v>
      </c>
      <c r="J2" s="20" t="s">
        <v>3</v>
      </c>
      <c r="K2" s="21" t="s">
        <v>7</v>
      </c>
      <c r="L2" s="42" t="s">
        <v>9</v>
      </c>
      <c r="O2" s="51" t="s">
        <v>11</v>
      </c>
      <c r="P2" s="52"/>
      <c r="Q2" s="52"/>
      <c r="R2" s="53"/>
      <c r="S2" s="46"/>
    </row>
    <row r="3" spans="1:20" ht="15" customHeight="1" thickTop="1" x14ac:dyDescent="0.25">
      <c r="B3" s="1"/>
      <c r="D3" s="60">
        <v>0</v>
      </c>
      <c r="E3" s="60" t="s">
        <v>18</v>
      </c>
      <c r="G3" s="1"/>
      <c r="I3" s="14">
        <v>0</v>
      </c>
      <c r="J3" s="13"/>
      <c r="K3" s="15"/>
      <c r="L3" s="40" t="str">
        <f t="shared" ref="L3:L33" si="0">IF(K3&lt;&gt;"",IF(K3=90,"PI * 0.5",IF(K3=180,"PI",IF(K3=270,"PI * 1.5",0))),"")</f>
        <v/>
      </c>
      <c r="M3" s="47" t="s">
        <v>8</v>
      </c>
      <c r="N3" s="47"/>
      <c r="O3" s="54"/>
      <c r="P3" s="55"/>
      <c r="Q3" s="55"/>
      <c r="R3" s="56"/>
    </row>
    <row r="4" spans="1:20" ht="15" customHeight="1" thickBot="1" x14ac:dyDescent="0.3">
      <c r="D4" s="60"/>
      <c r="E4" s="60"/>
      <c r="G4" s="22"/>
      <c r="I4" s="14"/>
      <c r="J4" s="13"/>
      <c r="K4" s="15"/>
      <c r="L4" s="40" t="str">
        <f t="shared" si="0"/>
        <v/>
      </c>
      <c r="O4" s="54"/>
      <c r="P4" s="55" t="s">
        <v>12</v>
      </c>
      <c r="Q4" s="55"/>
      <c r="R4" s="56"/>
    </row>
    <row r="5" spans="1:20" ht="15" customHeight="1" thickTop="1" x14ac:dyDescent="0.25">
      <c r="B5" s="23"/>
      <c r="D5" s="60">
        <v>1</v>
      </c>
      <c r="E5" s="60" t="s">
        <v>19</v>
      </c>
      <c r="G5" s="1"/>
      <c r="I5" s="14">
        <v>1</v>
      </c>
      <c r="J5" s="13">
        <v>1</v>
      </c>
      <c r="K5" s="15">
        <v>0</v>
      </c>
      <c r="L5" s="40">
        <f t="shared" si="0"/>
        <v>0</v>
      </c>
      <c r="O5" s="54"/>
      <c r="P5" s="55"/>
      <c r="Q5" s="55" t="str">
        <f>"0x"&amp;DEC2HEX(I5)&amp;":"</f>
        <v>0x1:</v>
      </c>
      <c r="R5" s="56" t="str">
        <f>"#" &amp; IF(BITWISE_AND(I5,POWER(2,D$3)),E$3,"")&amp;IF(BITWISE_AND(I5,POWER(2,D$5)),E$5,"")&amp;IF(BITWISE_AND(I5,POWER(2,D$7)),E$7,"")&amp;IF(BITWISE_AND(I5,POWER(2,D$9)),E$9,"")</f>
        <v># Top</v>
      </c>
      <c r="T5" t="s">
        <v>16</v>
      </c>
    </row>
    <row r="6" spans="1:20" ht="15" customHeight="1" x14ac:dyDescent="0.25">
      <c r="D6" s="60"/>
      <c r="E6" s="60"/>
      <c r="I6" s="14"/>
      <c r="J6" s="13"/>
      <c r="K6" s="15"/>
      <c r="L6" s="40" t="str">
        <f t="shared" si="0"/>
        <v/>
      </c>
      <c r="O6" s="54"/>
      <c r="P6" s="55"/>
      <c r="Q6" s="55"/>
      <c r="R6" s="56" t="str">
        <f>"return "&amp;T$6&amp;"("&amp;J5&amp;", "&amp;L5&amp;")"</f>
        <v>return _get_tile_variant(1, 0)</v>
      </c>
      <c r="T6" t="s">
        <v>17</v>
      </c>
    </row>
    <row r="7" spans="1:20" ht="15" customHeight="1" thickBot="1" x14ac:dyDescent="0.3">
      <c r="B7" s="25"/>
      <c r="D7" s="60">
        <v>2</v>
      </c>
      <c r="E7" s="60" t="s">
        <v>20</v>
      </c>
      <c r="G7" s="23"/>
      <c r="I7" s="14">
        <v>2</v>
      </c>
      <c r="J7" s="13">
        <v>1</v>
      </c>
      <c r="K7" s="15">
        <v>90</v>
      </c>
      <c r="L7" s="40" t="str">
        <f t="shared" si="0"/>
        <v>PI * 0.5</v>
      </c>
      <c r="O7" s="54"/>
      <c r="P7" s="55"/>
      <c r="Q7" s="55" t="str">
        <f t="shared" ref="Q7:Q34" si="1">"0x"&amp;DEC2HEX(I7)&amp;":"</f>
        <v>0x2:</v>
      </c>
      <c r="R7" s="56" t="str">
        <f>"#" &amp; IF(BITWISE_AND(I7,POWER(2,D$3)),E$3,"")&amp;IF(BITWISE_AND(I7,POWER(2,D$5)),E$5,"")&amp;IF(BITWISE_AND(I7,POWER(2,D$7)),E$7,"")&amp;IF(BITWISE_AND(I7,POWER(2,D$9)),E$9,"")</f>
        <v># Right</v>
      </c>
    </row>
    <row r="8" spans="1:20" ht="15" customHeight="1" thickTop="1" thickBot="1" x14ac:dyDescent="0.3">
      <c r="D8" s="60"/>
      <c r="E8" s="60"/>
      <c r="G8" s="22"/>
      <c r="I8" s="14"/>
      <c r="J8" s="13"/>
      <c r="K8" s="15"/>
      <c r="L8" s="40" t="str">
        <f t="shared" si="0"/>
        <v/>
      </c>
      <c r="O8" s="54"/>
      <c r="P8" s="55"/>
      <c r="Q8" s="55"/>
      <c r="R8" s="56" t="str">
        <f t="shared" ref="R8:R34" si="2">"return "&amp;T$6&amp;"("&amp;J7&amp;", "&amp;L7&amp;")"</f>
        <v>return _get_tile_variant(1, PI * 0.5)</v>
      </c>
    </row>
    <row r="9" spans="1:20" ht="15" customHeight="1" thickTop="1" thickBot="1" x14ac:dyDescent="0.3">
      <c r="A9" s="30"/>
      <c r="B9" s="1"/>
      <c r="D9" s="61">
        <v>3</v>
      </c>
      <c r="E9" s="61" t="s">
        <v>21</v>
      </c>
      <c r="G9" s="24"/>
      <c r="I9" s="14">
        <v>3</v>
      </c>
      <c r="J9" s="13">
        <v>2</v>
      </c>
      <c r="K9" s="15">
        <v>0</v>
      </c>
      <c r="L9" s="40">
        <f t="shared" si="0"/>
        <v>0</v>
      </c>
      <c r="O9" s="54"/>
      <c r="P9" s="55"/>
      <c r="Q9" s="55" t="str">
        <f t="shared" ref="Q9:Q34" si="3">"0x"&amp;DEC2HEX(I9)&amp;":"</f>
        <v>0x3:</v>
      </c>
      <c r="R9" s="56" t="str">
        <f>"#" &amp; IF(BITWISE_AND(I9,POWER(2,D$3)),E$3,"")&amp;IF(BITWISE_AND(I9,POWER(2,D$5)),E$5,"")&amp;IF(BITWISE_AND(I9,POWER(2,D$7)),E$7,"")&amp;IF(BITWISE_AND(I9,POWER(2,D$9)),E$9,"")</f>
        <v># Top Right</v>
      </c>
    </row>
    <row r="10" spans="1:20" ht="15" customHeight="1" x14ac:dyDescent="0.25">
      <c r="I10" s="14"/>
      <c r="J10" s="13"/>
      <c r="K10" s="15"/>
      <c r="L10" s="40" t="str">
        <f t="shared" si="0"/>
        <v/>
      </c>
      <c r="O10" s="54"/>
      <c r="P10" s="55"/>
      <c r="Q10" s="55"/>
      <c r="R10" s="56" t="str">
        <f t="shared" ref="R10:R34" si="4">"return "&amp;T$6&amp;"("&amp;J9&amp;", "&amp;L9&amp;")"</f>
        <v>return _get_tile_variant(2, 0)</v>
      </c>
    </row>
    <row r="11" spans="1:20" ht="15" customHeight="1" thickBot="1" x14ac:dyDescent="0.3">
      <c r="G11" s="25"/>
      <c r="I11" s="14">
        <v>4</v>
      </c>
      <c r="J11" s="13">
        <v>1</v>
      </c>
      <c r="K11" s="15">
        <v>180</v>
      </c>
      <c r="L11" s="40" t="str">
        <f t="shared" si="0"/>
        <v>PI</v>
      </c>
      <c r="O11" s="54"/>
      <c r="P11" s="55"/>
      <c r="Q11" s="55" t="str">
        <f t="shared" ref="Q11:Q34" si="5">"0x"&amp;DEC2HEX(I11)&amp;":"</f>
        <v>0x4:</v>
      </c>
      <c r="R11" s="56" t="str">
        <f>"#" &amp; IF(BITWISE_AND(I11,POWER(2,D$3)),E$3,"")&amp;IF(BITWISE_AND(I11,POWER(2,D$5)),E$5,"")&amp;IF(BITWISE_AND(I11,POWER(2,D$7)),E$7,"")&amp;IF(BITWISE_AND(I11,POWER(2,D$9)),E$9,"")</f>
        <v># Bottom</v>
      </c>
    </row>
    <row r="12" spans="1:20" ht="15" customHeight="1" thickTop="1" thickBot="1" x14ac:dyDescent="0.3">
      <c r="G12" s="26"/>
      <c r="I12" s="14"/>
      <c r="J12" s="13"/>
      <c r="K12" s="15"/>
      <c r="L12" s="40" t="str">
        <f t="shared" si="0"/>
        <v/>
      </c>
      <c r="O12" s="54"/>
      <c r="P12" s="55"/>
      <c r="Q12" s="55"/>
      <c r="R12" s="56" t="str">
        <f t="shared" ref="R12:R34" si="6">"return "&amp;T$6&amp;"("&amp;J11&amp;", "&amp;L11&amp;")"</f>
        <v>return _get_tile_variant(1, PI)</v>
      </c>
    </row>
    <row r="13" spans="1:20" ht="15" customHeight="1" thickTop="1" thickBot="1" x14ac:dyDescent="0.3">
      <c r="G13" s="27"/>
      <c r="I13" s="14">
        <v>5</v>
      </c>
      <c r="J13" s="38">
        <v>5</v>
      </c>
      <c r="K13" s="15">
        <v>0</v>
      </c>
      <c r="L13" s="40">
        <f t="shared" si="0"/>
        <v>0</v>
      </c>
      <c r="O13" s="54"/>
      <c r="P13" s="55"/>
      <c r="Q13" s="55" t="str">
        <f t="shared" ref="Q13:Q34" si="7">"0x"&amp;DEC2HEX(I13)&amp;":"</f>
        <v>0x5:</v>
      </c>
      <c r="R13" s="56" t="str">
        <f>"#" &amp; IF(BITWISE_AND(I13,POWER(2,D$3)),E$3,"")&amp;IF(BITWISE_AND(I13,POWER(2,D$5)),E$5,"")&amp;IF(BITWISE_AND(I13,POWER(2,D$7)),E$7,"")&amp;IF(BITWISE_AND(I13,POWER(2,D$9)),E$9,"")</f>
        <v># Top Bottom</v>
      </c>
    </row>
    <row r="14" spans="1:20" ht="15" customHeight="1" thickTop="1" x14ac:dyDescent="0.25">
      <c r="I14" s="14"/>
      <c r="J14" s="13"/>
      <c r="K14" s="15"/>
      <c r="L14" s="40" t="str">
        <f t="shared" si="0"/>
        <v/>
      </c>
      <c r="O14" s="54"/>
      <c r="P14" s="55"/>
      <c r="Q14" s="55"/>
      <c r="R14" s="56" t="str">
        <f t="shared" ref="R14:R34" si="8">"return "&amp;T$6&amp;"("&amp;J13&amp;", "&amp;L13&amp;")"</f>
        <v>return _get_tile_variant(5, 0)</v>
      </c>
    </row>
    <row r="15" spans="1:20" ht="15" customHeight="1" thickBot="1" x14ac:dyDescent="0.3">
      <c r="G15" s="28"/>
      <c r="I15" s="14">
        <v>6</v>
      </c>
      <c r="J15" s="13">
        <v>2</v>
      </c>
      <c r="K15" s="15">
        <v>90</v>
      </c>
      <c r="L15" s="40" t="str">
        <f t="shared" si="0"/>
        <v>PI * 0.5</v>
      </c>
      <c r="O15" s="54"/>
      <c r="P15" s="55"/>
      <c r="Q15" s="55" t="str">
        <f t="shared" ref="Q15:Q34" si="9">"0x"&amp;DEC2HEX(I15)&amp;":"</f>
        <v>0x6:</v>
      </c>
      <c r="R15" s="56" t="str">
        <f>"#" &amp; IF(BITWISE_AND(I15,POWER(2,D$3)),E$3,"")&amp;IF(BITWISE_AND(I15,POWER(2,D$5)),E$5,"")&amp;IF(BITWISE_AND(I15,POWER(2,D$7)),E$7,"")&amp;IF(BITWISE_AND(I15,POWER(2,D$9)),E$9,"")</f>
        <v># Right Bottom</v>
      </c>
    </row>
    <row r="16" spans="1:20" ht="15" customHeight="1" thickTop="1" thickBot="1" x14ac:dyDescent="0.3">
      <c r="G16" s="26"/>
      <c r="I16" s="14"/>
      <c r="J16" s="13"/>
      <c r="K16" s="15"/>
      <c r="L16" s="40" t="str">
        <f t="shared" si="0"/>
        <v/>
      </c>
      <c r="O16" s="54"/>
      <c r="P16" s="55"/>
      <c r="Q16" s="55"/>
      <c r="R16" s="56" t="str">
        <f t="shared" ref="R16:R34" si="10">"return "&amp;T$6&amp;"("&amp;J15&amp;", "&amp;L15&amp;")"</f>
        <v>return _get_tile_variant(2, PI * 0.5)</v>
      </c>
    </row>
    <row r="17" spans="6:18" ht="15" customHeight="1" thickTop="1" thickBot="1" x14ac:dyDescent="0.3">
      <c r="G17" s="29"/>
      <c r="I17" s="14">
        <v>7</v>
      </c>
      <c r="J17" s="13">
        <v>3</v>
      </c>
      <c r="K17" s="15">
        <v>0</v>
      </c>
      <c r="L17" s="40">
        <f t="shared" si="0"/>
        <v>0</v>
      </c>
      <c r="O17" s="54"/>
      <c r="P17" s="55"/>
      <c r="Q17" s="55" t="str">
        <f t="shared" ref="Q17:Q34" si="11">"0x"&amp;DEC2HEX(I17)&amp;":"</f>
        <v>0x7:</v>
      </c>
      <c r="R17" s="56" t="str">
        <f>"#" &amp; IF(BITWISE_AND(I17,POWER(2,D$3)),E$3,"")&amp;IF(BITWISE_AND(I17,POWER(2,D$5)),E$5,"")&amp;IF(BITWISE_AND(I17,POWER(2,D$7)),E$7,"")&amp;IF(BITWISE_AND(I17,POWER(2,D$9)),E$9,"")</f>
        <v># Top Right Bottom</v>
      </c>
    </row>
    <row r="18" spans="6:18" ht="15" customHeight="1" thickTop="1" x14ac:dyDescent="0.25">
      <c r="I18" s="14"/>
      <c r="J18" s="13"/>
      <c r="K18" s="15"/>
      <c r="L18" s="40" t="str">
        <f t="shared" si="0"/>
        <v/>
      </c>
      <c r="O18" s="54"/>
      <c r="P18" s="55"/>
      <c r="Q18" s="55"/>
      <c r="R18" s="56" t="str">
        <f t="shared" ref="R18:R34" si="12">"return "&amp;T$6&amp;"("&amp;J17&amp;", "&amp;L17&amp;")"</f>
        <v>return _get_tile_variant(3, 0)</v>
      </c>
    </row>
    <row r="19" spans="6:18" ht="15" customHeight="1" x14ac:dyDescent="0.25">
      <c r="F19" s="30"/>
      <c r="G19" s="1"/>
      <c r="I19" s="14">
        <v>8</v>
      </c>
      <c r="J19" s="13">
        <v>1</v>
      </c>
      <c r="K19" s="15">
        <v>270</v>
      </c>
      <c r="L19" s="40" t="str">
        <f t="shared" si="0"/>
        <v>PI * 1.5</v>
      </c>
      <c r="O19" s="54"/>
      <c r="P19" s="55"/>
      <c r="Q19" s="55" t="str">
        <f t="shared" ref="Q19:Q34" si="13">"0x"&amp;DEC2HEX(I19)&amp;":"</f>
        <v>0x8:</v>
      </c>
      <c r="R19" s="56" t="str">
        <f>"#" &amp; IF(BITWISE_AND(I19,POWER(2,D$3)),E$3,"")&amp;IF(BITWISE_AND(I19,POWER(2,D$5)),E$5,"")&amp;IF(BITWISE_AND(I19,POWER(2,D$7)),E$7,"")&amp;IF(BITWISE_AND(I19,POWER(2,D$9)),E$9,"")</f>
        <v># Left</v>
      </c>
    </row>
    <row r="20" spans="6:18" ht="15" customHeight="1" thickBot="1" x14ac:dyDescent="0.3">
      <c r="G20" s="22"/>
      <c r="I20" s="14"/>
      <c r="J20" s="13"/>
      <c r="K20" s="15"/>
      <c r="L20" s="40" t="str">
        <f t="shared" si="0"/>
        <v/>
      </c>
      <c r="O20" s="54"/>
      <c r="P20" s="55"/>
      <c r="Q20" s="55"/>
      <c r="R20" s="56" t="str">
        <f t="shared" ref="R20:R34" si="14">"return "&amp;T$6&amp;"("&amp;J19&amp;", "&amp;L19&amp;")"</f>
        <v>return _get_tile_variant(1, PI * 1.5)</v>
      </c>
    </row>
    <row r="21" spans="6:18" ht="15" customHeight="1" thickTop="1" x14ac:dyDescent="0.25">
      <c r="F21" s="30"/>
      <c r="G21" s="1"/>
      <c r="I21" s="14">
        <v>9</v>
      </c>
      <c r="J21" s="13">
        <v>2</v>
      </c>
      <c r="K21" s="15">
        <v>270</v>
      </c>
      <c r="L21" s="40" t="str">
        <f t="shared" si="0"/>
        <v>PI * 1.5</v>
      </c>
      <c r="O21" s="54"/>
      <c r="P21" s="55"/>
      <c r="Q21" s="55" t="str">
        <f t="shared" ref="Q21:Q34" si="15">"0x"&amp;DEC2HEX(I21)&amp;":"</f>
        <v>0x9:</v>
      </c>
      <c r="R21" s="56" t="str">
        <f>"#" &amp; IF(BITWISE_AND(I21,POWER(2,D$3)),E$3,"")&amp;IF(BITWISE_AND(I21,POWER(2,D$5)),E$5,"")&amp;IF(BITWISE_AND(I21,POWER(2,D$7)),E$7,"")&amp;IF(BITWISE_AND(I21,POWER(2,D$9)),E$9,"")</f>
        <v># Top Left</v>
      </c>
    </row>
    <row r="22" spans="6:18" ht="15" customHeight="1" x14ac:dyDescent="0.25">
      <c r="I22" s="14"/>
      <c r="J22" s="13"/>
      <c r="K22" s="15"/>
      <c r="L22" s="40" t="str">
        <f t="shared" si="0"/>
        <v/>
      </c>
      <c r="O22" s="54"/>
      <c r="P22" s="55"/>
      <c r="Q22" s="55"/>
      <c r="R22" s="56" t="str">
        <f t="shared" ref="R22:R34" si="16">"return "&amp;T$6&amp;"("&amp;J21&amp;", "&amp;L21&amp;")"</f>
        <v>return _get_tile_variant(2, PI * 1.5)</v>
      </c>
    </row>
    <row r="23" spans="6:18" ht="15" customHeight="1" x14ac:dyDescent="0.25">
      <c r="F23" s="30"/>
      <c r="G23" s="31"/>
      <c r="I23" s="14">
        <v>10</v>
      </c>
      <c r="J23" s="38">
        <v>5</v>
      </c>
      <c r="K23" s="15">
        <v>90</v>
      </c>
      <c r="L23" s="40" t="str">
        <f t="shared" si="0"/>
        <v>PI * 0.5</v>
      </c>
      <c r="O23" s="54"/>
      <c r="P23" s="55"/>
      <c r="Q23" s="55" t="str">
        <f t="shared" ref="Q23:Q34" si="17">"0x"&amp;DEC2HEX(I23)&amp;":"</f>
        <v>0xA:</v>
      </c>
      <c r="R23" s="56" t="str">
        <f>"#" &amp; IF(BITWISE_AND(I23,POWER(2,D$3)),E$3,"")&amp;IF(BITWISE_AND(I23,POWER(2,D$5)),E$5,"")&amp;IF(BITWISE_AND(I23,POWER(2,D$7)),E$7,"")&amp;IF(BITWISE_AND(I23,POWER(2,D$9)),E$9,"")</f>
        <v># Right Left</v>
      </c>
    </row>
    <row r="24" spans="6:18" ht="15" customHeight="1" thickBot="1" x14ac:dyDescent="0.3">
      <c r="G24" s="22"/>
      <c r="I24" s="14"/>
      <c r="J24" s="13"/>
      <c r="K24" s="15"/>
      <c r="L24" s="40" t="str">
        <f t="shared" si="0"/>
        <v/>
      </c>
      <c r="O24" s="54"/>
      <c r="P24" s="55"/>
      <c r="Q24" s="55"/>
      <c r="R24" s="56" t="str">
        <f t="shared" ref="R24:R34" si="18">"return "&amp;T$6&amp;"("&amp;J23&amp;", "&amp;L23&amp;")"</f>
        <v>return _get_tile_variant(5, PI * 0.5)</v>
      </c>
    </row>
    <row r="25" spans="6:18" ht="15" customHeight="1" thickTop="1" x14ac:dyDescent="0.25">
      <c r="F25" s="30"/>
      <c r="G25" s="32"/>
      <c r="I25" s="14">
        <v>11</v>
      </c>
      <c r="J25" s="13">
        <v>3</v>
      </c>
      <c r="K25" s="15">
        <v>270</v>
      </c>
      <c r="L25" s="40" t="str">
        <f t="shared" si="0"/>
        <v>PI * 1.5</v>
      </c>
      <c r="O25" s="54"/>
      <c r="P25" s="55"/>
      <c r="Q25" s="55" t="str">
        <f t="shared" ref="Q25:Q34" si="19">"0x"&amp;DEC2HEX(I25)&amp;":"</f>
        <v>0xB:</v>
      </c>
      <c r="R25" s="56" t="str">
        <f>"#" &amp; IF(BITWISE_AND(I25,POWER(2,D$3)),E$3,"")&amp;IF(BITWISE_AND(I25,POWER(2,D$5)),E$5,"")&amp;IF(BITWISE_AND(I25,POWER(2,D$7)),E$7,"")&amp;IF(BITWISE_AND(I25,POWER(2,D$9)),E$9,"")</f>
        <v># Top Right Left</v>
      </c>
    </row>
    <row r="26" spans="6:18" ht="15" customHeight="1" x14ac:dyDescent="0.25">
      <c r="I26" s="14"/>
      <c r="J26" s="13"/>
      <c r="K26" s="15"/>
      <c r="L26" s="40" t="str">
        <f t="shared" si="0"/>
        <v/>
      </c>
      <c r="O26" s="54"/>
      <c r="P26" s="55"/>
      <c r="Q26" s="55"/>
      <c r="R26" s="56" t="str">
        <f t="shared" ref="R26:R34" si="20">"return "&amp;T$6&amp;"("&amp;J25&amp;", "&amp;L25&amp;")"</f>
        <v>return _get_tile_variant(3, PI * 1.5)</v>
      </c>
    </row>
    <row r="27" spans="6:18" ht="15" customHeight="1" thickBot="1" x14ac:dyDescent="0.3">
      <c r="F27" s="30"/>
      <c r="G27" s="33"/>
      <c r="I27" s="14">
        <v>12</v>
      </c>
      <c r="J27" s="13">
        <v>2</v>
      </c>
      <c r="K27" s="15">
        <v>180</v>
      </c>
      <c r="L27" s="40" t="str">
        <f t="shared" si="0"/>
        <v>PI</v>
      </c>
      <c r="O27" s="54"/>
      <c r="P27" s="55"/>
      <c r="Q27" s="55" t="str">
        <f t="shared" ref="Q27:Q34" si="21">"0x"&amp;DEC2HEX(I27)&amp;":"</f>
        <v>0xC:</v>
      </c>
      <c r="R27" s="56" t="str">
        <f>"#" &amp; IF(BITWISE_AND(I27,POWER(2,D$3)),E$3,"")&amp;IF(BITWISE_AND(I27,POWER(2,D$5)),E$5,"")&amp;IF(BITWISE_AND(I27,POWER(2,D$7)),E$7,"")&amp;IF(BITWISE_AND(I27,POWER(2,D$9)),E$9,"")</f>
        <v># Bottom Left</v>
      </c>
    </row>
    <row r="28" spans="6:18" ht="15" customHeight="1" thickTop="1" thickBot="1" x14ac:dyDescent="0.3">
      <c r="G28" s="26"/>
      <c r="I28" s="14"/>
      <c r="J28" s="13"/>
      <c r="K28" s="15"/>
      <c r="L28" s="40" t="str">
        <f t="shared" si="0"/>
        <v/>
      </c>
      <c r="O28" s="54"/>
      <c r="P28" s="55"/>
      <c r="Q28" s="55"/>
      <c r="R28" s="56" t="str">
        <f t="shared" ref="R28:R34" si="22">"return "&amp;T$6&amp;"("&amp;J27&amp;", "&amp;L27&amp;")"</f>
        <v>return _get_tile_variant(2, PI)</v>
      </c>
    </row>
    <row r="29" spans="6:18" ht="15" customHeight="1" thickTop="1" thickBot="1" x14ac:dyDescent="0.3">
      <c r="F29" s="30"/>
      <c r="G29" s="34"/>
      <c r="I29" s="14">
        <v>13</v>
      </c>
      <c r="J29" s="13">
        <v>3</v>
      </c>
      <c r="K29" s="15">
        <v>180</v>
      </c>
      <c r="L29" s="40" t="str">
        <f t="shared" si="0"/>
        <v>PI</v>
      </c>
      <c r="O29" s="54"/>
      <c r="P29" s="55"/>
      <c r="Q29" s="55" t="str">
        <f t="shared" ref="Q29:Q34" si="23">"0x"&amp;DEC2HEX(I29)&amp;":"</f>
        <v>0xD:</v>
      </c>
      <c r="R29" s="56" t="str">
        <f>"#" &amp; IF(BITWISE_AND(I29,POWER(2,D$3)),E$3,"")&amp;IF(BITWISE_AND(I29,POWER(2,D$5)),E$5,"")&amp;IF(BITWISE_AND(I29,POWER(2,D$7)),E$7,"")&amp;IF(BITWISE_AND(I29,POWER(2,D$9)),E$9,"")</f>
        <v># Top Bottom Left</v>
      </c>
    </row>
    <row r="30" spans="6:18" ht="15" customHeight="1" thickTop="1" x14ac:dyDescent="0.25">
      <c r="I30" s="14"/>
      <c r="J30" s="13"/>
      <c r="K30" s="15"/>
      <c r="L30" s="40" t="str">
        <f t="shared" si="0"/>
        <v/>
      </c>
      <c r="O30" s="54"/>
      <c r="P30" s="55"/>
      <c r="Q30" s="55"/>
      <c r="R30" s="56" t="str">
        <f t="shared" ref="R30:R34" si="24">"return "&amp;T$6&amp;"("&amp;J29&amp;", "&amp;L29&amp;")"</f>
        <v>return _get_tile_variant(3, PI)</v>
      </c>
    </row>
    <row r="31" spans="6:18" ht="15" customHeight="1" thickBot="1" x14ac:dyDescent="0.3">
      <c r="F31" s="30"/>
      <c r="G31" s="35"/>
      <c r="I31" s="14">
        <v>14</v>
      </c>
      <c r="J31" s="13">
        <v>3</v>
      </c>
      <c r="K31" s="15">
        <v>90</v>
      </c>
      <c r="L31" s="40" t="str">
        <f t="shared" si="0"/>
        <v>PI * 0.5</v>
      </c>
      <c r="O31" s="54"/>
      <c r="P31" s="55"/>
      <c r="Q31" s="55" t="str">
        <f t="shared" ref="Q31:Q34" si="25">"0x"&amp;DEC2HEX(I31)&amp;":"</f>
        <v>0xE:</v>
      </c>
      <c r="R31" s="56" t="str">
        <f>"#" &amp; IF(BITWISE_AND(I31,POWER(2,D$3)),E$3,"")&amp;IF(BITWISE_AND(I31,POWER(2,D$5)),E$5,"")&amp;IF(BITWISE_AND(I31,POWER(2,D$7)),E$7,"")&amp;IF(BITWISE_AND(I31,POWER(2,D$9)),E$9,"")</f>
        <v># Right Bottom Left</v>
      </c>
    </row>
    <row r="32" spans="6:18" ht="15" customHeight="1" thickTop="1" thickBot="1" x14ac:dyDescent="0.3">
      <c r="G32" s="26"/>
      <c r="I32" s="14"/>
      <c r="J32" s="13"/>
      <c r="K32" s="15"/>
      <c r="L32" s="40" t="str">
        <f t="shared" si="0"/>
        <v/>
      </c>
      <c r="O32" s="54"/>
      <c r="P32" s="55"/>
      <c r="Q32" s="55"/>
      <c r="R32" s="56" t="str">
        <f t="shared" ref="R32:R34" si="26">"return "&amp;T$6&amp;"("&amp;J31&amp;", "&amp;L31&amp;")"</f>
        <v>return _get_tile_variant(3, PI * 0.5)</v>
      </c>
    </row>
    <row r="33" spans="6:18" ht="15" customHeight="1" thickTop="1" thickBot="1" x14ac:dyDescent="0.3">
      <c r="F33" s="30"/>
      <c r="G33" s="36"/>
      <c r="I33" s="16">
        <v>15</v>
      </c>
      <c r="J33" s="17">
        <v>4</v>
      </c>
      <c r="K33" s="18">
        <v>0</v>
      </c>
      <c r="L33" s="41">
        <f t="shared" si="0"/>
        <v>0</v>
      </c>
      <c r="O33" s="54"/>
      <c r="P33" s="55"/>
      <c r="Q33" s="55" t="str">
        <f t="shared" ref="Q33:Q34" si="27">"0x"&amp;DEC2HEX(I33)&amp;":"</f>
        <v>0xF:</v>
      </c>
      <c r="R33" s="56" t="str">
        <f>"#" &amp; IF(BITWISE_AND(I33,POWER(2,D$3)),E$3,"")&amp;IF(BITWISE_AND(I33,POWER(2,D$5)),E$5,"")&amp;IF(BITWISE_AND(I33,POWER(2,D$7)),E$7,"")&amp;IF(BITWISE_AND(I33,POWER(2,D$9)),E$9,"")</f>
        <v># Top Right Bottom Left</v>
      </c>
    </row>
    <row r="34" spans="6:18" ht="15" customHeight="1" thickTop="1" x14ac:dyDescent="0.25">
      <c r="L34" s="39"/>
      <c r="O34" s="54"/>
      <c r="P34" s="55"/>
      <c r="Q34" s="55"/>
      <c r="R34" s="56" t="str">
        <f t="shared" ref="R34" si="28">"return "&amp;T$6&amp;"("&amp;J33&amp;", "&amp;L33&amp;")"</f>
        <v>return _get_tile_variant(4, 0)</v>
      </c>
    </row>
    <row r="35" spans="6:18" ht="15" customHeight="1" x14ac:dyDescent="0.25">
      <c r="O35" s="54"/>
      <c r="P35" s="55"/>
      <c r="Q35" s="55" t="s">
        <v>13</v>
      </c>
      <c r="R35" s="56"/>
    </row>
    <row r="36" spans="6:18" ht="15" customHeight="1" thickBot="1" x14ac:dyDescent="0.3">
      <c r="O36" s="57"/>
      <c r="P36" s="58"/>
      <c r="Q36" s="58"/>
      <c r="R36" s="59" t="s">
        <v>14</v>
      </c>
    </row>
  </sheetData>
  <mergeCells count="2">
    <mergeCell ref="O2:R2"/>
    <mergeCell ref="O1:R1"/>
  </mergeCells>
  <pageMargins left="0.7" right="0.7" top="0.75" bottom="0.75" header="0.3" footer="0.3"/>
  <pageSetup orientation="portrait" horizontalDpi="4294967294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H15"/>
  <sheetViews>
    <sheetView workbookViewId="0">
      <selection activeCell="J2" sqref="J2"/>
    </sheetView>
  </sheetViews>
  <sheetFormatPr defaultRowHeight="15" x14ac:dyDescent="0.25"/>
  <cols>
    <col min="1" max="1" width="2.85546875" style="5" customWidth="1"/>
    <col min="2" max="2" width="26.85546875" style="5" bestFit="1" customWidth="1"/>
    <col min="3" max="3" width="6.85546875" style="5" bestFit="1" customWidth="1"/>
    <col min="4" max="4" width="6.140625" style="5" bestFit="1" customWidth="1"/>
    <col min="5" max="7" width="3.7109375" style="5" customWidth="1"/>
    <col min="8" max="16384" width="9.140625" style="5"/>
  </cols>
  <sheetData>
    <row r="1" spans="2:8" ht="15" customHeight="1" thickBot="1" x14ac:dyDescent="0.3"/>
    <row r="2" spans="2:8" ht="15.75" thickBot="1" x14ac:dyDescent="0.3">
      <c r="B2" s="2" t="s">
        <v>4</v>
      </c>
      <c r="C2" s="3">
        <v>1</v>
      </c>
      <c r="D2" s="3">
        <v>2</v>
      </c>
      <c r="E2" s="3">
        <v>3</v>
      </c>
      <c r="F2" s="3">
        <v>4</v>
      </c>
      <c r="G2" s="4" t="s">
        <v>5</v>
      </c>
    </row>
    <row r="3" spans="2:8" x14ac:dyDescent="0.25">
      <c r="B3" s="43" t="s">
        <v>2</v>
      </c>
      <c r="C3" s="6">
        <v>1</v>
      </c>
      <c r="D3" s="6">
        <v>3</v>
      </c>
      <c r="E3" s="6">
        <v>7</v>
      </c>
      <c r="F3" s="6">
        <v>15</v>
      </c>
      <c r="G3" s="7">
        <v>5</v>
      </c>
    </row>
    <row r="4" spans="2:8" x14ac:dyDescent="0.25">
      <c r="B4" s="44"/>
      <c r="C4" s="8">
        <v>2</v>
      </c>
      <c r="D4" s="8">
        <v>6</v>
      </c>
      <c r="E4" s="8">
        <v>11</v>
      </c>
      <c r="F4" s="8"/>
      <c r="G4" s="9">
        <v>10</v>
      </c>
    </row>
    <row r="5" spans="2:8" x14ac:dyDescent="0.25">
      <c r="B5" s="44"/>
      <c r="C5" s="8">
        <v>4</v>
      </c>
      <c r="D5" s="8">
        <v>9</v>
      </c>
      <c r="E5" s="8">
        <v>13</v>
      </c>
      <c r="F5" s="8"/>
      <c r="G5" s="9"/>
    </row>
    <row r="6" spans="2:8" ht="15.75" thickBot="1" x14ac:dyDescent="0.3">
      <c r="B6" s="45"/>
      <c r="C6" s="10">
        <v>8</v>
      </c>
      <c r="D6" s="10">
        <v>12</v>
      </c>
      <c r="E6" s="10">
        <v>14</v>
      </c>
      <c r="F6" s="10"/>
      <c r="G6" s="11"/>
    </row>
    <row r="8" spans="2:8" x14ac:dyDescent="0.25">
      <c r="B8" s="12" t="s">
        <v>6</v>
      </c>
    </row>
    <row r="15" spans="2:8" x14ac:dyDescent="0.25">
      <c r="H15"/>
    </row>
  </sheetData>
  <mergeCells count="1">
    <mergeCell ref="B3:B6"/>
  </mergeCells>
  <pageMargins left="0.7" right="0.7" top="0.75" bottom="0.75" header="0.3" footer="0.3"/>
  <pageSetup orientation="portrait" horizontalDpi="4294967294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Nono</vt:lpstr>
      <vt:lpstr>Padawan</vt:lpstr>
    </vt:vector>
  </TitlesOfParts>
  <Company>Mitsubishi Turbocharger and Engine Europe B.V.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PierArn</dc:creator>
  <cp:lastModifiedBy>PierArn</cp:lastModifiedBy>
  <dcterms:created xsi:type="dcterms:W3CDTF">2019-08-26T18:01:34Z</dcterms:created>
  <dcterms:modified xsi:type="dcterms:W3CDTF">2019-09-02T00:12:07Z</dcterms:modified>
</cp:coreProperties>
</file>